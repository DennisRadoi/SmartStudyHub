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odele Ollama" sheetId="1" state="visible" r:id="rId1"/>
    <sheet name="Modele Gemini API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<sst xmlns="http://schemas.openxmlformats.org/spreadsheetml/2006/main" count="25" uniqueCount="25">
  <si>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timp raspuns sumarizare</t>
  </si>
  <si>
    <t>mistral</t>
  </si>
  <si>
    <t>qwen2.5</t>
  </si>
  <si>
    <t>qwen3.5</t>
  </si>
  <si>
    <t>qwen3.5:4b</t>
  </si>
  <si>
    <t>gemma2:2b</t>
  </si>
  <si>
    <t>gemma3:1b</t>
  </si>
  <si>
    <t>gemma3:4b</t>
  </si>
  <si>
    <t>gemma3n</t>
  </si>
  <si>
    <t>phi3:mini</t>
  </si>
  <si>
    <t>curs4-s23.pdf</t>
  </si>
  <si>
    <t>N/A</t>
  </si>
  <si>
    <t xml:space="preserve">Algoritmi avansati c-10</t>
  </si>
  <si>
    <t xml:space="preserve">Curs 3 PAOJ</t>
  </si>
  <si>
    <t xml:space="preserve">timp raspuns quiz</t>
  </si>
  <si>
    <t xml:space="preserve">scor calitate sumarizare (subiectiv)</t>
  </si>
  <si>
    <t xml:space="preserve">scor calitate quiz (subiectiv)</t>
  </si>
  <si>
    <t xml:space="preserve">*s-a completat cu 0 unde nu s-a returnat un format valid pentru quiz</t>
  </si>
  <si>
    <t xml:space="preserve">scor/timp*10 sumarizare</t>
  </si>
  <si>
    <t xml:space="preserve">scor/timp*10 quiz</t>
  </si>
  <si>
    <t>gemini-2.5-flash</t>
  </si>
  <si>
    <t>gemini-flash-latest</t>
  </si>
  <si>
    <t>gemini-3.5-flash</t>
  </si>
  <si>
    <t>gemma-4-31b-it</t>
  </si>
  <si>
    <t>gemini-3.1-flash-lite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</si>
</sst>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0" fillId="0" borderId="5" numFmtId="0" xfId="0" applyBorder="1">
      <protection hidden="0" locked="1"/>
    </xf>
    <xf fontId="0" fillId="0" borderId="3" numFmtId="0" xfId="0" applyBorder="1">
      <protection hidden="0" locked="1"/>
    </xf>
    <xf fontId="0" fillId="0" borderId="1" numFmtId="0" xfId="0" applyBorder="1">
      <protection hidden="0" locked="1"/>
    </xf>
    <xf fontId="0" fillId="0" borderId="2" numFmtId="0" xfId="0" applyBorder="1">
      <protection hidden="0" locked="1"/>
    </xf>
    <xf fontId="0" fillId="0" borderId="0" numFmtId="0" xfId="0" applyAlignment="1">
      <alignment horizontal="center" wrapText="1"/>
    </xf>
    <xf fontId="0" fillId="0" borderId="4" numFmtId="0" xfId="0" applyBorder="1">
      <protection hidden="0" locked="1"/>
    </xf>
    <xf fontId="0" fillId="0" borderId="6" numFmtId="2" xfId="0" applyNumberFormat="1" applyBorder="1"/>
    <xf fontId="0" fillId="0" borderId="7" numFmtId="2" xfId="0" applyNumberFormat="1" applyBorder="1"/>
    <xf fontId="0" fillId="0" borderId="5" numFmtId="2" xfId="0" applyNumberFormat="1" applyBorder="1"/>
    <xf fontId="0" fillId="0" borderId="6" numFmtId="2" xfId="0" applyNumberFormat="1" applyBorder="1">
      <protection hidden="0" locked="1"/>
    </xf>
    <xf fontId="0" fillId="0" borderId="7" numFmtId="2" xfId="0" applyNumberFormat="1" applyBorder="1">
      <protection hidden="0" locked="1"/>
    </xf>
    <xf fontId="0" fillId="0" borderId="4" numFmtId="2" xfId="0" applyNumberFormat="1" applyBorder="1">
      <protection hidden="0" locked="1"/>
    </xf>
    <xf fontId="0" fillId="0" borderId="8" numFmtId="0" xfId="0" applyBorder="1">
      <protection hidden="0" locked="1"/>
    </xf>
    <xf fontId="0" fillId="0" borderId="9" numFmtId="0" xfId="0" applyBorder="1">
      <protection hidden="0" locked="1"/>
    </xf>
    <xf fontId="0" fillId="0" borderId="6" numFmtId="0" xfId="0" applyBorder="1"/>
    <xf fontId="0" fillId="0" borderId="7" numFmtId="0" xfId="0" applyBorder="1"/>
    <xf fontId="0" fillId="0" borderId="7" numFmtId="0" xfId="0" applyBorder="1">
      <protection hidden="0" locked="1"/>
    </xf>
    <xf fontId="0" fillId="0" borderId="5" numFmtId="0" xfId="0" applyBorder="1">
      <protection hidden="0" locked="1"/>
    </xf>
    <xf fontId="0" fillId="0" borderId="6" numFmtId="0" xfId="0" applyBorder="1">
      <protection hidden="0" locked="1"/>
    </xf>
    <xf fontId="0" fillId="0" borderId="10" numFmtId="2" xfId="0" applyNumberFormat="1" applyBorder="1"/>
    <xf fontId="0" fillId="0" borderId="11" numFmtId="2" xfId="0" applyNumberFormat="1" applyBorder="1"/>
    <xf fontId="0" fillId="0" borderId="12" numFmtId="0" xfId="0" applyBorder="1"/>
    <xf fontId="0" fillId="0" borderId="10" numFmtId="2" xfId="0" applyNumberFormat="1" applyBorder="1">
      <protection hidden="0" locked="1"/>
    </xf>
    <xf fontId="0" fillId="0" borderId="11" numFmtId="2" xfId="0" applyNumberFormat="1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1" activeCellId="0" sqref="A1"/>
    </sheetView>
  </sheetViews>
  <sheetFormatPr defaultRowHeight="14.25"/>
  <cols>
    <col bestFit="1" min="1" max="1" width="30.140625"/>
    <col bestFit="1" min="2" max="2" width="6.57421875"/>
    <col bestFit="1" min="3" max="4" width="8.04296875"/>
    <col bestFit="1" min="5" max="5" width="10.76171875"/>
    <col bestFit="1" min="6" max="8" width="10.8515625"/>
    <col bestFit="1" min="9" max="9" width="9.23046875"/>
    <col bestFit="1" min="10" max="10" width="8.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>
      <c r="A2" s="1" t="s">
        <v>10</v>
      </c>
      <c r="B2" s="2" t="s">
        <v>11</v>
      </c>
      <c r="C2" s="3">
        <v>192</v>
      </c>
      <c r="D2" s="3" t="s">
        <v>11</v>
      </c>
      <c r="E2" s="3" t="s">
        <v>11</v>
      </c>
      <c r="F2" s="3">
        <v>67</v>
      </c>
      <c r="G2" s="3">
        <v>21</v>
      </c>
      <c r="H2" s="3">
        <v>114</v>
      </c>
      <c r="I2" s="3">
        <v>141</v>
      </c>
      <c r="J2" s="3" t="s">
        <v>11</v>
      </c>
    </row>
    <row r="3" ht="14.25">
      <c r="A3" s="1" t="s">
        <v>12</v>
      </c>
      <c r="B3" s="4">
        <v>270</v>
      </c>
      <c r="C3" s="5">
        <v>198</v>
      </c>
      <c r="D3" s="5" t="s">
        <v>11</v>
      </c>
      <c r="E3" s="5" t="s">
        <v>11</v>
      </c>
      <c r="F3" s="5">
        <v>87</v>
      </c>
      <c r="G3" s="5">
        <v>27</v>
      </c>
      <c r="H3" s="5">
        <v>103</v>
      </c>
      <c r="I3" s="5">
        <v>126</v>
      </c>
      <c r="J3" s="5" t="s">
        <v>11</v>
      </c>
    </row>
    <row r="4" ht="14.25">
      <c r="A4" s="1" t="s">
        <v>13</v>
      </c>
      <c r="B4" s="4">
        <v>248</v>
      </c>
      <c r="C4" s="5">
        <v>167</v>
      </c>
      <c r="D4" s="6" t="s">
        <v>11</v>
      </c>
      <c r="E4" s="6" t="s">
        <v>11</v>
      </c>
      <c r="F4" s="5">
        <v>83</v>
      </c>
      <c r="G4" s="5">
        <v>21</v>
      </c>
      <c r="H4" s="5">
        <v>99</v>
      </c>
      <c r="I4" s="5">
        <v>166</v>
      </c>
      <c r="J4" s="6" t="s">
        <v>11</v>
      </c>
    </row>
    <row r="6" ht="14.25">
      <c r="A6" s="1" t="s">
        <v>14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</row>
    <row r="7" ht="14.25">
      <c r="A7" s="1" t="s">
        <v>10</v>
      </c>
      <c r="B7" s="2">
        <v>237</v>
      </c>
      <c r="C7" s="3">
        <v>285</v>
      </c>
      <c r="D7" s="7" t="s">
        <v>11</v>
      </c>
      <c r="E7" s="7" t="s">
        <v>11</v>
      </c>
      <c r="F7" s="3">
        <v>143</v>
      </c>
      <c r="G7" s="3">
        <v>35</v>
      </c>
      <c r="H7" s="3">
        <v>72</v>
      </c>
      <c r="I7" s="3">
        <v>175</v>
      </c>
      <c r="J7" s="7" t="s">
        <v>11</v>
      </c>
    </row>
    <row r="8" ht="14.25">
      <c r="A8" s="1" t="s">
        <v>12</v>
      </c>
      <c r="B8" s="4">
        <v>270</v>
      </c>
      <c r="C8" s="5">
        <v>194</v>
      </c>
      <c r="D8" s="6" t="s">
        <v>11</v>
      </c>
      <c r="E8" s="6" t="s">
        <v>11</v>
      </c>
      <c r="F8" s="5">
        <v>92</v>
      </c>
      <c r="G8" s="5">
        <v>29</v>
      </c>
      <c r="H8" s="5">
        <v>132</v>
      </c>
      <c r="I8" s="5">
        <v>163</v>
      </c>
      <c r="J8" s="6" t="s">
        <v>11</v>
      </c>
    </row>
    <row r="9" ht="14.25">
      <c r="A9" s="1" t="s">
        <v>13</v>
      </c>
      <c r="B9" s="4">
        <v>271</v>
      </c>
      <c r="C9" s="5">
        <v>259</v>
      </c>
      <c r="D9" s="6" t="s">
        <v>11</v>
      </c>
      <c r="E9" s="6" t="s">
        <v>11</v>
      </c>
      <c r="F9" s="5">
        <v>101</v>
      </c>
      <c r="G9" s="5">
        <v>33</v>
      </c>
      <c r="H9" s="5">
        <v>130</v>
      </c>
      <c r="I9" s="5">
        <v>182</v>
      </c>
      <c r="J9" s="6" t="s">
        <v>11</v>
      </c>
    </row>
    <row r="11" ht="14.25">
      <c r="A11" s="1" t="s">
        <v>15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</row>
    <row r="12" ht="14.25">
      <c r="A12" s="1" t="s">
        <v>10</v>
      </c>
      <c r="B12" s="2">
        <v>0</v>
      </c>
      <c r="C12" s="3">
        <v>80</v>
      </c>
      <c r="D12" s="3">
        <v>0</v>
      </c>
      <c r="E12" s="3">
        <v>0</v>
      </c>
      <c r="F12" s="3">
        <v>60</v>
      </c>
      <c r="G12" s="3">
        <v>20</v>
      </c>
      <c r="H12" s="3">
        <v>85</v>
      </c>
      <c r="I12" s="3">
        <v>90</v>
      </c>
      <c r="J12" s="3">
        <v>0</v>
      </c>
    </row>
    <row r="13" ht="14.25">
      <c r="A13" s="1" t="s">
        <v>12</v>
      </c>
      <c r="B13" s="4">
        <v>70</v>
      </c>
      <c r="C13" s="5">
        <v>75</v>
      </c>
      <c r="D13" s="5">
        <v>0</v>
      </c>
      <c r="E13" s="5">
        <v>0</v>
      </c>
      <c r="F13" s="5">
        <v>60</v>
      </c>
      <c r="G13" s="5">
        <v>60</v>
      </c>
      <c r="H13" s="5">
        <v>80</v>
      </c>
      <c r="I13" s="5">
        <v>85</v>
      </c>
      <c r="J13" s="5">
        <v>0</v>
      </c>
    </row>
    <row r="14" ht="14.25">
      <c r="A14" s="1" t="s">
        <v>13</v>
      </c>
      <c r="B14" s="4">
        <v>75</v>
      </c>
      <c r="C14" s="5">
        <v>80</v>
      </c>
      <c r="D14" s="5">
        <v>0</v>
      </c>
      <c r="E14" s="5">
        <v>0</v>
      </c>
      <c r="F14" s="5">
        <v>70</v>
      </c>
      <c r="G14" s="5">
        <v>65</v>
      </c>
      <c r="H14" s="5">
        <v>90</v>
      </c>
      <c r="I14" s="5">
        <v>90</v>
      </c>
      <c r="J14" s="5">
        <v>0</v>
      </c>
    </row>
    <row r="16" ht="14.25">
      <c r="A16" s="1" t="s">
        <v>16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</row>
    <row r="17" ht="14.25">
      <c r="A17" s="8" t="s">
        <v>10</v>
      </c>
      <c r="B17" s="9">
        <v>0</v>
      </c>
      <c r="C17" s="7">
        <v>75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L17" s="10" t="s">
        <v>17</v>
      </c>
      <c r="M17" s="10"/>
      <c r="N17" s="10"/>
    </row>
    <row r="18" ht="14.25">
      <c r="A18" s="8" t="s">
        <v>12</v>
      </c>
      <c r="B18" s="11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L18" s="10"/>
      <c r="M18" s="10"/>
      <c r="N18" s="10"/>
    </row>
    <row r="19" ht="14.25">
      <c r="A19" s="8" t="s">
        <v>13</v>
      </c>
      <c r="B19" s="11">
        <v>0</v>
      </c>
      <c r="C19" s="6">
        <v>85</v>
      </c>
      <c r="D19" s="6">
        <v>0</v>
      </c>
      <c r="E19" s="6">
        <v>0</v>
      </c>
      <c r="F19" s="6">
        <v>80</v>
      </c>
      <c r="G19" s="6">
        <v>70</v>
      </c>
      <c r="H19" s="6">
        <v>90</v>
      </c>
      <c r="I19" s="6">
        <v>0</v>
      </c>
      <c r="J19" s="6">
        <v>0</v>
      </c>
      <c r="L19" s="10"/>
      <c r="M19" s="10"/>
      <c r="N19" s="10"/>
    </row>
    <row r="21" ht="14.25">
      <c r="A21" s="1" t="s">
        <v>18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</row>
    <row r="22" ht="14.25">
      <c r="A22" s="1" t="s">
        <v>10</v>
      </c>
      <c r="B22" s="12">
        <v>0</v>
      </c>
      <c r="C22" s="13">
        <f t="shared" ref="C22:C27" si="0">C12/C2*10</f>
        <v>4.166666666666667</v>
      </c>
      <c r="D22" s="13">
        <v>0</v>
      </c>
      <c r="E22" s="13">
        <v>0</v>
      </c>
      <c r="F22" s="13">
        <f t="shared" ref="F22:F24" si="1">F12/F2*10</f>
        <v>8.9552238805970159</v>
      </c>
      <c r="G22" s="13">
        <f t="shared" ref="G22:G24" si="2">G12/G2*10</f>
        <v>9.5238095238095237</v>
      </c>
      <c r="H22" s="13">
        <f t="shared" ref="H22:H24" si="3">H12/H2*10</f>
        <v>7.4561403508771926</v>
      </c>
      <c r="I22" s="13">
        <f t="shared" ref="I22:I24" si="4">I12/I2*10</f>
        <v>6.3829787234042552</v>
      </c>
      <c r="J22" s="13">
        <v>0</v>
      </c>
    </row>
    <row r="23" ht="14.25">
      <c r="A23" s="1" t="s">
        <v>12</v>
      </c>
      <c r="B23" s="13">
        <f t="shared" ref="B23:B24" si="5">B13/B3*10</f>
        <v>2.5925925925925926</v>
      </c>
      <c r="C23" s="13">
        <f t="shared" si="0"/>
        <v>3.7878787878787881</v>
      </c>
      <c r="D23" s="14">
        <v>0</v>
      </c>
      <c r="E23" s="14">
        <v>0</v>
      </c>
      <c r="F23" s="13">
        <f t="shared" si="1"/>
        <v>6.8965517241379315</v>
      </c>
      <c r="G23" s="13">
        <f t="shared" si="2"/>
        <v>22.222222222222221</v>
      </c>
      <c r="H23" s="13">
        <f t="shared" si="3"/>
        <v>7.766990291262136</v>
      </c>
      <c r="I23" s="13">
        <f t="shared" si="4"/>
        <v>6.7460317460317469</v>
      </c>
      <c r="J23" s="14">
        <v>0</v>
      </c>
    </row>
    <row r="24" ht="14.25">
      <c r="A24" s="1" t="s">
        <v>13</v>
      </c>
      <c r="B24" s="13">
        <f t="shared" si="5"/>
        <v>3.024193548387097</v>
      </c>
      <c r="C24" s="13">
        <f t="shared" si="0"/>
        <v>4.7904191616766472</v>
      </c>
      <c r="D24" s="14">
        <v>0</v>
      </c>
      <c r="E24" s="14">
        <v>0</v>
      </c>
      <c r="F24" s="13">
        <f t="shared" si="1"/>
        <v>8.4337349397590362</v>
      </c>
      <c r="G24" s="13">
        <f t="shared" si="2"/>
        <v>30.952380952380953</v>
      </c>
      <c r="H24" s="13">
        <f t="shared" si="3"/>
        <v>9.0909090909090899</v>
      </c>
      <c r="I24" s="13">
        <f t="shared" si="4"/>
        <v>5.4216867469879517</v>
      </c>
      <c r="J24" s="14">
        <v>0</v>
      </c>
    </row>
    <row r="26" ht="14.25">
      <c r="A26" s="1" t="s">
        <v>19</v>
      </c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8" t="s">
        <v>6</v>
      </c>
      <c r="H26" s="8" t="s">
        <v>7</v>
      </c>
      <c r="I26" s="8" t="s">
        <v>8</v>
      </c>
      <c r="J26" s="8" t="s">
        <v>9</v>
      </c>
    </row>
    <row r="27" ht="14.25">
      <c r="A27" s="8" t="s">
        <v>10</v>
      </c>
      <c r="B27" s="15">
        <v>0</v>
      </c>
      <c r="C27" s="16">
        <f t="shared" si="0"/>
        <v>2.6315789473684208</v>
      </c>
      <c r="D27" s="16">
        <v>0</v>
      </c>
      <c r="E27" s="16">
        <v>0</v>
      </c>
      <c r="F27" s="16">
        <f t="shared" ref="F27:F28" si="6">F17/F7</f>
        <v>0</v>
      </c>
      <c r="G27" s="16">
        <f t="shared" ref="G27:G28" si="7">G17/G7</f>
        <v>0</v>
      </c>
      <c r="H27" s="16">
        <f t="shared" ref="H27:H28" si="8">H17/H7</f>
        <v>0</v>
      </c>
      <c r="I27" s="16">
        <f t="shared" ref="I27:I29" si="9">I17/I7</f>
        <v>0</v>
      </c>
      <c r="J27" s="16">
        <v>0</v>
      </c>
    </row>
    <row r="28" ht="14.25">
      <c r="A28" s="8" t="s">
        <v>12</v>
      </c>
      <c r="B28" s="17">
        <v>0</v>
      </c>
      <c r="C28" s="16">
        <f>C18/C8</f>
        <v>0</v>
      </c>
      <c r="D28" s="16">
        <v>0</v>
      </c>
      <c r="E28" s="16">
        <v>0</v>
      </c>
      <c r="F28" s="16">
        <f t="shared" si="6"/>
        <v>0</v>
      </c>
      <c r="G28" s="16">
        <f t="shared" si="7"/>
        <v>0</v>
      </c>
      <c r="H28" s="16">
        <f t="shared" si="8"/>
        <v>0</v>
      </c>
      <c r="I28" s="16">
        <f t="shared" si="9"/>
        <v>0</v>
      </c>
      <c r="J28" s="16">
        <v>0</v>
      </c>
    </row>
    <row r="29" ht="14.25">
      <c r="A29" s="8" t="s">
        <v>13</v>
      </c>
      <c r="B29" s="17">
        <v>0</v>
      </c>
      <c r="C29" s="16">
        <f>C19/C9*10</f>
        <v>3.281853281853282</v>
      </c>
      <c r="D29" s="16">
        <v>0</v>
      </c>
      <c r="E29" s="16">
        <v>0</v>
      </c>
      <c r="F29" s="16">
        <f>F19/F9*10</f>
        <v>7.9207920792079207</v>
      </c>
      <c r="G29" s="16">
        <f>G19/G9*10</f>
        <v>21.212121212121211</v>
      </c>
      <c r="H29" s="16">
        <f>H19/H9*10</f>
        <v>6.9230769230769234</v>
      </c>
      <c r="I29" s="16">
        <f t="shared" si="9"/>
        <v>0</v>
      </c>
      <c r="J29" s="16">
        <v>0</v>
      </c>
    </row>
  </sheetData>
  <mergeCells count="1">
    <mergeCell ref="L17:N19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lessThan" id="{7538351A-F2EE-4FFB-8689-98EB69B5DCB7}">
            <xm:f>2.5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B22:J24</xm:sqref>
        </x14:conditionalFormatting>
        <x14:conditionalFormatting xmlns:xm="http://schemas.microsoft.com/office/excel/2006/main">
          <x14:cfRule type="cellIs" priority="9" operator="greaterThan" id="{7C20085C-16E2-4A27-8D9F-B826C217BFBF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B22:J24</xm:sqref>
        </x14:conditionalFormatting>
        <x14:conditionalFormatting xmlns:xm="http://schemas.microsoft.com/office/excel/2006/main">
          <x14:cfRule type="cellIs" priority="8" operator="greaterThan" id="{1E6FC02B-FF05-4330-9284-1D6711B79545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B27:J29</xm:sqref>
        </x14:conditionalFormatting>
        <x14:conditionalFormatting xmlns:xm="http://schemas.microsoft.com/office/excel/2006/main">
          <x14:cfRule type="cellIs" priority="7" operator="lessThan" id="{591A8F3C-D798-431B-8A1C-10F38F6A848B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B27:J29</xm:sqref>
        </x14:conditionalFormatting>
        <x14:conditionalFormatting xmlns:xm="http://schemas.microsoft.com/office/excel/2006/main">
          <x14:cfRule type="cellIs" priority="6" operator="lessThan" id="{1AF4A943-6662-44EA-A8A3-FFCBB7235B19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B22:J24</xm:sqref>
        </x14:conditionalFormatting>
        <x14:conditionalFormatting xmlns:xm="http://schemas.microsoft.com/office/excel/2006/main">
          <x14:cfRule type="cellIs" priority="5" operator="lessThan" id="{21EC8D48-C864-43F3-929E-36228FA8BC5C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B12:J14</xm:sqref>
        </x14:conditionalFormatting>
        <x14:conditionalFormatting xmlns:xm="http://schemas.microsoft.com/office/excel/2006/main">
          <x14:cfRule type="cellIs" priority="4" operator="greaterThan" id="{80A64B36-CB03-4035-971F-6BEF3007F846}">
            <xm:f>70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B12:J14</xm:sqref>
        </x14:conditionalFormatting>
        <x14:conditionalFormatting xmlns:xm="http://schemas.microsoft.com/office/excel/2006/main">
          <x14:cfRule type="cellIs" priority="3" operator="greaterThan" id="{0078D477-BADD-4280-BC0A-6FEEDE5A8663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B12:J14</xm:sqref>
        </x14:conditionalFormatting>
        <x14:conditionalFormatting xmlns:xm="http://schemas.microsoft.com/office/excel/2006/main">
          <x14:cfRule type="cellIs" priority="2" operator="lessThan" id="{6254F880-5F6A-426B-ABCB-C53A89F4CE7B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B17:J19</xm:sqref>
        </x14:conditionalFormatting>
        <x14:conditionalFormatting xmlns:xm="http://schemas.microsoft.com/office/excel/2006/main">
          <x14:cfRule type="cellIs" priority="1" operator="greaterThan" id="{45635A5B-D9B1-4DCD-9651-F3F6E5097D30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B17:J19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0.140625"/>
    <col bestFit="1" min="2" max="2" width="14.33203125"/>
    <col bestFit="1" min="3" max="3" width="16.47265625"/>
    <col bestFit="1" min="4" max="4" width="14.33203125"/>
    <col bestFit="1" min="5" max="5" width="14.3828125"/>
    <col bestFit="1" min="6" max="6" width="17.6640625"/>
  </cols>
  <sheetData>
    <row r="1" ht="14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ht="14.25">
      <c r="A2" s="1" t="s">
        <v>10</v>
      </c>
      <c r="B2" s="2">
        <v>10</v>
      </c>
      <c r="C2" s="3">
        <v>11</v>
      </c>
      <c r="D2" s="3">
        <v>10</v>
      </c>
      <c r="E2" s="3">
        <v>29</v>
      </c>
      <c r="F2" s="3">
        <v>3</v>
      </c>
    </row>
    <row r="3" ht="14.25">
      <c r="A3" s="1" t="s">
        <v>12</v>
      </c>
      <c r="B3" s="4">
        <v>3</v>
      </c>
      <c r="C3" s="5">
        <v>9</v>
      </c>
      <c r="D3" s="5">
        <v>9</v>
      </c>
      <c r="E3" s="5">
        <v>22</v>
      </c>
      <c r="F3" s="5">
        <v>5</v>
      </c>
    </row>
    <row r="4" ht="14.25">
      <c r="A4" s="1" t="s">
        <v>13</v>
      </c>
      <c r="B4" s="4">
        <v>6</v>
      </c>
      <c r="C4" s="5">
        <v>12</v>
      </c>
      <c r="D4" s="6">
        <v>10</v>
      </c>
      <c r="E4" s="6">
        <v>35</v>
      </c>
      <c r="F4" s="6">
        <v>3</v>
      </c>
    </row>
    <row r="5" ht="14.25">
      <c r="A5" s="18"/>
      <c r="B5" s="19"/>
      <c r="C5" s="19"/>
      <c r="D5" s="19"/>
      <c r="E5" s="19"/>
      <c r="F5" s="19"/>
    </row>
    <row r="6" ht="14.25">
      <c r="A6" s="1" t="s">
        <v>14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 ht="14.25">
      <c r="A7" s="1" t="s">
        <v>10</v>
      </c>
      <c r="B7" s="20">
        <v>14</v>
      </c>
      <c r="C7" s="21">
        <v>15</v>
      </c>
      <c r="D7" s="22">
        <v>14</v>
      </c>
      <c r="E7" s="22">
        <v>56</v>
      </c>
      <c r="F7" s="22">
        <v>4</v>
      </c>
    </row>
    <row r="8" ht="14.25">
      <c r="A8" s="1" t="s">
        <v>12</v>
      </c>
      <c r="B8" s="4">
        <v>15</v>
      </c>
      <c r="C8" s="5">
        <v>15</v>
      </c>
      <c r="D8" s="6">
        <v>15</v>
      </c>
      <c r="E8" s="6">
        <v>53</v>
      </c>
      <c r="F8" s="23">
        <v>6</v>
      </c>
    </row>
    <row r="9" ht="14.25">
      <c r="A9" s="1" t="s">
        <v>13</v>
      </c>
      <c r="B9" s="4">
        <v>14</v>
      </c>
      <c r="C9" s="5">
        <v>12</v>
      </c>
      <c r="D9" s="6" t="s">
        <v>11</v>
      </c>
      <c r="E9" s="6">
        <v>49</v>
      </c>
      <c r="F9" s="6">
        <v>5</v>
      </c>
    </row>
    <row r="10" ht="14.25">
      <c r="A10" s="18"/>
      <c r="B10" s="19"/>
      <c r="C10" s="19"/>
      <c r="D10" s="19"/>
      <c r="E10" s="19"/>
      <c r="F10" s="19"/>
    </row>
    <row r="11" ht="14.25">
      <c r="A11" s="1" t="s">
        <v>15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</row>
    <row r="12" ht="14.25">
      <c r="A12" s="1" t="s">
        <v>10</v>
      </c>
      <c r="B12" s="20">
        <v>95</v>
      </c>
      <c r="C12" s="21">
        <v>90</v>
      </c>
      <c r="D12" s="21">
        <v>90</v>
      </c>
      <c r="E12" s="21">
        <v>70</v>
      </c>
      <c r="F12" s="21">
        <v>90</v>
      </c>
    </row>
    <row r="13" ht="14.25">
      <c r="A13" s="1" t="s">
        <v>12</v>
      </c>
      <c r="B13" s="4">
        <v>95</v>
      </c>
      <c r="C13" s="5">
        <v>90</v>
      </c>
      <c r="D13" s="5">
        <v>85</v>
      </c>
      <c r="E13" s="5">
        <v>75</v>
      </c>
      <c r="F13" s="5">
        <v>85</v>
      </c>
    </row>
    <row r="14" ht="14.25">
      <c r="A14" s="1" t="s">
        <v>13</v>
      </c>
      <c r="B14" s="4">
        <v>95</v>
      </c>
      <c r="C14" s="5">
        <v>90</v>
      </c>
      <c r="D14" s="5">
        <v>90</v>
      </c>
      <c r="E14" s="5">
        <v>80</v>
      </c>
      <c r="F14" s="5">
        <v>85</v>
      </c>
    </row>
    <row r="15" ht="14.25">
      <c r="A15" s="18"/>
      <c r="B15" s="19"/>
      <c r="C15" s="19"/>
      <c r="D15" s="19"/>
      <c r="E15" s="19"/>
      <c r="F15" s="19"/>
    </row>
    <row r="16" ht="14.25">
      <c r="A16" s="1" t="s">
        <v>16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</row>
    <row r="17" ht="14.25">
      <c r="A17" s="8" t="s">
        <v>10</v>
      </c>
      <c r="B17" s="24">
        <v>85</v>
      </c>
      <c r="C17" s="22">
        <v>90</v>
      </c>
      <c r="D17" s="22">
        <v>85</v>
      </c>
      <c r="E17" s="22">
        <v>0</v>
      </c>
      <c r="F17" s="22">
        <v>85</v>
      </c>
    </row>
    <row r="18" ht="14.25">
      <c r="A18" s="8" t="s">
        <v>12</v>
      </c>
      <c r="B18" s="11">
        <v>80</v>
      </c>
      <c r="C18" s="6">
        <v>90</v>
      </c>
      <c r="D18" s="6">
        <v>90</v>
      </c>
      <c r="E18" s="6">
        <v>0</v>
      </c>
      <c r="F18" s="6">
        <v>85</v>
      </c>
    </row>
    <row r="19" ht="14.25">
      <c r="A19" s="8" t="s">
        <v>13</v>
      </c>
      <c r="B19" s="11">
        <v>90</v>
      </c>
      <c r="C19" s="6">
        <v>90</v>
      </c>
      <c r="D19" s="6">
        <v>0</v>
      </c>
      <c r="E19" s="6">
        <v>0</v>
      </c>
      <c r="F19" s="6">
        <v>85</v>
      </c>
    </row>
    <row r="20" ht="14.25">
      <c r="A20" s="18"/>
      <c r="B20" s="19"/>
      <c r="C20" s="19"/>
      <c r="D20" s="19"/>
      <c r="E20" s="19"/>
      <c r="F20" s="19"/>
    </row>
    <row r="21" ht="14.25">
      <c r="A21" s="1" t="s">
        <v>18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</row>
    <row r="22" ht="14.25">
      <c r="A22" s="1" t="s">
        <v>10</v>
      </c>
      <c r="B22" s="25">
        <f t="shared" ref="B22:B29" si="10">B12/B2*10</f>
        <v>95</v>
      </c>
      <c r="C22" s="25">
        <f t="shared" ref="C22:C29" si="11">C12/C2*10</f>
        <v>81.818181818181813</v>
      </c>
      <c r="D22" s="25">
        <f t="shared" ref="D22:D28" si="12">D12/D2*10</f>
        <v>90</v>
      </c>
      <c r="E22" s="25">
        <f t="shared" ref="E22:E29" si="13">E12/E2*10</f>
        <v>24.137931034482758</v>
      </c>
      <c r="F22" s="26">
        <f t="shared" ref="F22:F29" si="14">F12/F2*10</f>
        <v>300</v>
      </c>
    </row>
    <row r="23" ht="14.25">
      <c r="A23" s="27" t="s">
        <v>12</v>
      </c>
      <c r="B23" s="25">
        <f t="shared" si="10"/>
        <v>316.66666666666669</v>
      </c>
      <c r="C23" s="25">
        <f t="shared" si="11"/>
        <v>100</v>
      </c>
      <c r="D23" s="25">
        <f t="shared" si="12"/>
        <v>94.444444444444443</v>
      </c>
      <c r="E23" s="25">
        <f t="shared" si="13"/>
        <v>34.090909090909093</v>
      </c>
      <c r="F23" s="26">
        <f t="shared" si="14"/>
        <v>170</v>
      </c>
    </row>
    <row r="24" ht="14.25">
      <c r="A24" s="27" t="s">
        <v>13</v>
      </c>
      <c r="B24" s="13">
        <f t="shared" si="10"/>
        <v>158.33333333333334</v>
      </c>
      <c r="C24" s="13">
        <f t="shared" si="11"/>
        <v>75</v>
      </c>
      <c r="D24" s="13">
        <f t="shared" si="12"/>
        <v>90</v>
      </c>
      <c r="E24" s="13">
        <f t="shared" si="13"/>
        <v>22.857142857142854</v>
      </c>
      <c r="F24" s="13">
        <f t="shared" si="14"/>
        <v>283.33333333333331</v>
      </c>
    </row>
    <row r="25" ht="14.25">
      <c r="A25" s="18"/>
      <c r="B25" s="19"/>
      <c r="C25" s="19"/>
      <c r="D25" s="19"/>
      <c r="E25" s="19"/>
      <c r="F25" s="19"/>
    </row>
    <row r="26" ht="14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</row>
    <row r="27" ht="14.25">
      <c r="A27" s="8" t="s">
        <v>10</v>
      </c>
      <c r="B27" s="28">
        <f t="shared" si="10"/>
        <v>60.714285714285708</v>
      </c>
      <c r="C27" s="28">
        <f t="shared" si="11"/>
        <v>60</v>
      </c>
      <c r="D27" s="28">
        <f t="shared" si="12"/>
        <v>60.714285714285708</v>
      </c>
      <c r="E27" s="28">
        <f t="shared" si="13"/>
        <v>0</v>
      </c>
      <c r="F27" s="29">
        <f t="shared" si="14"/>
        <v>212.5</v>
      </c>
    </row>
    <row r="28" ht="14.25">
      <c r="A28" s="8" t="s">
        <v>12</v>
      </c>
      <c r="B28" s="28">
        <f t="shared" si="10"/>
        <v>53.333333333333329</v>
      </c>
      <c r="C28" s="28">
        <f t="shared" si="11"/>
        <v>60</v>
      </c>
      <c r="D28" s="28">
        <f t="shared" si="12"/>
        <v>60</v>
      </c>
      <c r="E28" s="28">
        <f t="shared" si="13"/>
        <v>0</v>
      </c>
      <c r="F28" s="29">
        <f t="shared" si="14"/>
        <v>141.66666666666666</v>
      </c>
    </row>
    <row r="29" ht="14.25">
      <c r="A29" s="8" t="s">
        <v>13</v>
      </c>
      <c r="B29" s="16">
        <f t="shared" si="10"/>
        <v>64.285714285714292</v>
      </c>
      <c r="C29" s="16">
        <f t="shared" si="11"/>
        <v>75</v>
      </c>
      <c r="D29" s="16">
        <v>0</v>
      </c>
      <c r="E29" s="16">
        <f t="shared" si="13"/>
        <v>0</v>
      </c>
      <c r="F29" s="16">
        <f t="shared" si="14"/>
        <v>170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lessThan" id="{AF3D55CD-0859-43E3-AF03-9C29F7BCA196}">
            <xm:f>2.5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B22:E24</xm:sqref>
        </x14:conditionalFormatting>
        <x14:conditionalFormatting xmlns:xm="http://schemas.microsoft.com/office/excel/2006/main">
          <x14:cfRule type="cellIs" priority="11" operator="greaterThan" id="{8E20EF66-7779-44F6-82CC-EC8DC1466FBF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B22:E24</xm:sqref>
        </x14:conditionalFormatting>
        <x14:conditionalFormatting xmlns:xm="http://schemas.microsoft.com/office/excel/2006/main">
          <x14:cfRule type="cellIs" priority="10" operator="greaterThan" id="{33225B9E-D304-46FC-8E76-9412D0081A32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C27 C29 C28 B27 B29 B28 E27 E29 E28 D27 D29 D28</xm:sqref>
        </x14:conditionalFormatting>
        <x14:conditionalFormatting xmlns:xm="http://schemas.microsoft.com/office/excel/2006/main">
          <x14:cfRule type="cellIs" priority="9" operator="lessThan" id="{C86C02B3-E45A-4576-90A0-ACF3447FE94E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C27 C29 C28 B27 B29 B28 E27 E29 E28 D27 D29 D28</xm:sqref>
        </x14:conditionalFormatting>
        <x14:conditionalFormatting xmlns:xm="http://schemas.microsoft.com/office/excel/2006/main">
          <x14:cfRule type="cellIs" priority="8" operator="lessThan" id="{73F56364-A6B2-4D48-AD2C-DA22DF356A86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B22:E24</xm:sqref>
        </x14:conditionalFormatting>
        <x14:conditionalFormatting xmlns:xm="http://schemas.microsoft.com/office/excel/2006/main">
          <x14:cfRule type="cellIs" priority="7" operator="lessThan" id="{03F46937-FE83-44D7-B354-76349DB0B423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B12:E14</xm:sqref>
        </x14:conditionalFormatting>
        <x14:conditionalFormatting xmlns:xm="http://schemas.microsoft.com/office/excel/2006/main">
          <x14:cfRule type="cellIs" priority="6" operator="greaterThan" id="{D2CDF866-27EE-4094-B570-8690EC859F6C}">
            <xm:f>70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B12:E14</xm:sqref>
        </x14:conditionalFormatting>
        <x14:conditionalFormatting xmlns:xm="http://schemas.microsoft.com/office/excel/2006/main">
          <x14:cfRule type="cellIs" priority="5" operator="greaterThan" id="{A6FAF843-B252-4BA8-80B3-81914B4EC014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B12:E14</xm:sqref>
        </x14:conditionalFormatting>
        <x14:conditionalFormatting xmlns:xm="http://schemas.microsoft.com/office/excel/2006/main">
          <x14:cfRule type="cellIs" priority="4" operator="lessThan" id="{C540ADAB-ED47-4C77-B378-BAA01AD942B3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B17:E19</xm:sqref>
        </x14:conditionalFormatting>
        <x14:conditionalFormatting xmlns:xm="http://schemas.microsoft.com/office/excel/2006/main">
          <x14:cfRule type="cellIs" priority="3" operator="greaterThan" id="{73B883E8-AD2D-440B-9C50-18079D11DD83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B17:E19</xm:sqref>
        </x14:conditionalFormatting>
        <x14:conditionalFormatting xmlns:xm="http://schemas.microsoft.com/office/excel/2006/main">
          <x14:cfRule type="cellIs" priority="13" operator="lessThan" id="{EAC37575-2E8B-41F1-BF56-C8BFA114B3BA}">
            <xm:f>2.5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F22:F24</xm:sqref>
        </x14:conditionalFormatting>
        <x14:conditionalFormatting xmlns:xm="http://schemas.microsoft.com/office/excel/2006/main">
          <x14:cfRule type="cellIs" priority="14" operator="greaterThan" id="{9CA0A587-2B91-4711-9CC6-98F4E1DE66A2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F22:F24</xm:sqref>
        </x14:conditionalFormatting>
        <x14:conditionalFormatting xmlns:xm="http://schemas.microsoft.com/office/excel/2006/main">
          <x14:cfRule type="cellIs" priority="15" operator="greaterThan" id="{6AB3E371-51D3-4A6A-9D02-99687D4C5AEE}">
            <xm:f>7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F27 F29 F28</xm:sqref>
        </x14:conditionalFormatting>
        <x14:conditionalFormatting xmlns:xm="http://schemas.microsoft.com/office/excel/2006/main">
          <x14:cfRule type="cellIs" priority="16" operator="lessThan" id="{B96D0660-849D-4EA3-9A6F-9BF46D5B1BD1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F27 F29 F28</xm:sqref>
        </x14:conditionalFormatting>
        <x14:conditionalFormatting xmlns:xm="http://schemas.microsoft.com/office/excel/2006/main">
          <x14:cfRule type="cellIs" priority="17" operator="lessThan" id="{5FC3866C-B61B-4A63-99DD-E290126860D2}">
            <xm:f>3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F22:F24</xm:sqref>
        </x14:conditionalFormatting>
        <x14:conditionalFormatting xmlns:xm="http://schemas.microsoft.com/office/excel/2006/main">
          <x14:cfRule type="cellIs" priority="18" operator="lessThan" id="{C4612512-ECA0-4BDA-B4A1-49E670345FB7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19" operator="greaterThan" id="{2CA07CFA-0FDD-4DFF-89B6-E390EC019614}">
            <xm:f>70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20" operator="greaterThan" id="{ADC5B28D-6AFD-40C8-9927-C36503F4B947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21" operator="lessThan" id="{C7E3FA53-4E02-44ED-95C6-7A514B498008}">
            <xm:f>30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F17:F19</xm:sqref>
        </x14:conditionalFormatting>
        <x14:conditionalFormatting xmlns:xm="http://schemas.microsoft.com/office/excel/2006/main">
          <x14:cfRule type="cellIs" priority="22" operator="greaterThan" id="{1C58D787-DB78-4205-8A36-A87ABE3253B1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F17:F19</xm:sqref>
        </x14:conditionalFormatting>
        <x14:conditionalFormatting xmlns:xm="http://schemas.microsoft.com/office/excel/2006/main">
          <x14:cfRule type="cellIs" priority="2" operator="greaterThan" id="{6BABA26C-425D-47B5-9AD5-84154BD1FFD5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F12:F14</xm:sqref>
        </x14:conditionalFormatting>
        <x14:conditionalFormatting xmlns:xm="http://schemas.microsoft.com/office/excel/2006/main">
          <x14:cfRule type="cellIs" priority="1" operator="greaterThan" id="{0EA5FD63-00D4-49B1-9BA3-FEF089B92F49}">
            <xm:f>70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F17:F19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2026-05-23T22:32:31Z</dcterms:modified>
</cp:coreProperties>
</file>