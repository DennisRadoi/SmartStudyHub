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odele Ollama" sheetId="1" state="visible" r:id="rId1"/>
    <sheet name="Modele Gemini API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<sst xmlns="http://schemas.openxmlformats.org/spreadsheetml/2006/main" count="32" uniqueCount="32">
  <si>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 xml:space="preserve">timp raspuns intrebare 1</t>
  </si>
  <si>
    <t>mistral</t>
  </si>
  <si>
    <t>qwen2.5</t>
  </si>
  <si>
    <t>qwen3.5</t>
  </si>
  <si>
    <t>qwen3.5:4b</t>
  </si>
  <si>
    <t>gemma2:2b</t>
  </si>
  <si>
    <t>gemma3:1b</t>
  </si>
  <si>
    <t>gemma3:4b</t>
  </si>
  <si>
    <t>gemma3n</t>
  </si>
  <si>
    <t>phi3:mini</t>
  </si>
  <si>
    <t>curs4-s23.pdf</t>
  </si>
  <si>
    <t>N/A</t>
  </si>
  <si>
    <t xml:space="preserve">Algoritmi avansati c-10</t>
  </si>
  <si>
    <t xml:space="preserve">Curs 3 PAOJ</t>
  </si>
  <si>
    <t xml:space="preserve">timp raspuns intrebare 2</t>
  </si>
  <si>
    <t xml:space="preserve">scor calitate raspuns 1</t>
  </si>
  <si>
    <t xml:space="preserve">scor calitate raspuns 2</t>
  </si>
  <si>
    <t xml:space="preserve">scor/timp*10 1</t>
  </si>
  <si>
    <t xml:space="preserve">scor/timp*10 2</t>
  </si>
  <si>
    <t xml:space="preserve">Intrebare 1:</t>
  </si>
  <si>
    <t xml:space="preserve">What is the main goal or topic of this document?</t>
  </si>
  <si>
    <t xml:space="preserve">Intrebare 2:</t>
  </si>
  <si>
    <t xml:space="preserve">Summarize the key points in 3 to 5 sentences.</t>
  </si>
  <si>
    <t xml:space="preserve">timp raspuns întrebare 1</t>
  </si>
  <si>
    <t>gemini-2.5-flash</t>
  </si>
  <si>
    <t>gemini-flash-latest</t>
  </si>
  <si>
    <t>gemini-3.5-flash</t>
  </si>
  <si>
    <t>gemma-4-31b-it</t>
  </si>
  <si>
    <t>gemini-3.1-flash-lite</t>
  </si>
  <si>
    <t xml:space="preserve">timp raspuns întrebare 2</t>
  </si>
  <si>
    <t xml:space="preserve">scor calitate răspuns 1</t>
  </si>
  <si>
    <t xml:space="preserve">scor calitate răspuns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</si>
</sst>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4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0" fillId="0" borderId="1" numFmtId="0" xfId="0" applyBorder="1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5" numFmtId="0" xfId="0" applyBorder="1">
      <protection hidden="0" locked="1"/>
    </xf>
    <xf fontId="0" fillId="0" borderId="6" numFmtId="0" xfId="0" applyBorder="1">
      <protection hidden="0" locked="1"/>
    </xf>
    <xf fontId="0" fillId="0" borderId="7" numFmtId="0" xfId="0" applyBorder="1">
      <protection hidden="0" locked="1"/>
    </xf>
    <xf fontId="0" fillId="0" borderId="8" numFmtId="0" xfId="0" applyBorder="1"/>
    <xf fontId="0" fillId="0" borderId="9" numFmtId="0" xfId="0" applyBorder="1"/>
    <xf fontId="0" fillId="0" borderId="9" numFmtId="0" xfId="0" applyBorder="1">
      <protection hidden="0" locked="1"/>
    </xf>
    <xf fontId="0" fillId="0" borderId="1" numFmtId="0" xfId="0" applyBorder="1">
      <protection hidden="0" locked="1"/>
    </xf>
    <xf fontId="0" fillId="0" borderId="8" numFmtId="0" xfId="0" applyBorder="1">
      <protection hidden="0" locked="1"/>
    </xf>
    <xf fontId="0" fillId="0" borderId="4" numFmtId="0" xfId="0" applyBorder="1">
      <protection hidden="0" locked="1"/>
    </xf>
    <xf fontId="0" fillId="0" borderId="10" numFmtId="2" xfId="0" applyNumberFormat="1" applyBorder="1"/>
    <xf fontId="0" fillId="0" borderId="10" numFmtId="2" xfId="0" applyNumberFormat="1" applyBorder="1">
      <protection hidden="0" locked="1"/>
    </xf>
    <xf fontId="0" fillId="0" borderId="11" numFmtId="0" xfId="0" applyBorder="1"/>
    <xf fontId="0" fillId="0" borderId="9" numFmtId="2" xfId="0" applyNumberFormat="1" applyBorder="1"/>
    <xf fontId="0" fillId="0" borderId="9" numFmtId="2" xfId="0" applyNumberFormat="1" applyBorder="1">
      <protection hidden="0" locked="1"/>
    </xf>
    <xf fontId="1" fillId="0" borderId="0" numFmtId="0" xfId="0" applyFont="1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0" fillId="0" borderId="5" numFmtId="0" xfId="0" applyBorder="1">
      <protection hidden="0" locked="1"/>
    </xf>
    <xf fontId="0" fillId="0" borderId="12" numFmtId="2" xfId="0" applyNumberFormat="1" applyBorder="1"/>
    <xf fontId="0" fillId="0" borderId="13" numFmtId="0" xfId="0" applyBorder="1"/>
    <xf fontId="0" fillId="0" borderId="11" numFmtId="0" xfId="0" applyBorder="1">
      <protection hidden="0" locked="1"/>
    </xf>
    <xf fontId="0" fillId="0" borderId="12" numFmtId="2" xfId="0" applyNumberFormat="1" applyBorder="1">
      <protection hidden="0" locked="1"/>
    </xf>
    <xf fontId="1" fillId="0" borderId="0" numFmtId="0" xfId="0" applyFont="1"/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bestFit="1" min="1" max="1" width="30.140625"/>
    <col bestFit="1" min="2" max="2" width="6.57421875"/>
    <col bestFit="1" min="3" max="4" width="8.04296875"/>
    <col bestFit="1" min="5" max="5" width="10.76171875"/>
    <col bestFit="1" min="6" max="8" width="10.8515625"/>
    <col bestFit="1" min="9" max="9" width="9.23046875"/>
    <col bestFit="1" min="10" max="10" width="8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>
      <c r="A2" s="2" t="s">
        <v>10</v>
      </c>
      <c r="B2" s="3">
        <v>12</v>
      </c>
      <c r="C2" s="4">
        <v>10</v>
      </c>
      <c r="D2" s="4" t="s">
        <v>11</v>
      </c>
      <c r="E2" s="4" t="s">
        <v>11</v>
      </c>
      <c r="F2" s="4">
        <v>3</v>
      </c>
      <c r="G2" s="4">
        <v>1</v>
      </c>
      <c r="H2" s="4">
        <v>5</v>
      </c>
      <c r="I2" s="4">
        <v>8</v>
      </c>
      <c r="J2" s="4">
        <v>102</v>
      </c>
    </row>
    <row r="3" ht="14.25">
      <c r="A3" s="2" t="s">
        <v>12</v>
      </c>
      <c r="B3" s="5">
        <v>40</v>
      </c>
      <c r="C3" s="6">
        <v>33</v>
      </c>
      <c r="D3" s="6" t="s">
        <v>11</v>
      </c>
      <c r="E3" s="6" t="s">
        <v>11</v>
      </c>
      <c r="F3" s="6">
        <v>10</v>
      </c>
      <c r="G3" s="6">
        <v>4</v>
      </c>
      <c r="H3" s="6">
        <v>23</v>
      </c>
      <c r="I3" s="6">
        <v>33</v>
      </c>
      <c r="J3" s="6">
        <v>87</v>
      </c>
    </row>
    <row r="4" ht="14.25">
      <c r="A4" s="2" t="s">
        <v>13</v>
      </c>
      <c r="B4" s="5">
        <v>126</v>
      </c>
      <c r="C4" s="6">
        <v>95</v>
      </c>
      <c r="D4" s="7" t="s">
        <v>11</v>
      </c>
      <c r="E4" s="7" t="s">
        <v>11</v>
      </c>
      <c r="F4" s="6">
        <v>30</v>
      </c>
      <c r="G4" s="6">
        <v>10</v>
      </c>
      <c r="H4" s="6">
        <v>47</v>
      </c>
      <c r="I4" s="6">
        <v>71</v>
      </c>
      <c r="J4" s="7">
        <v>172</v>
      </c>
    </row>
    <row r="5" ht="14.25">
      <c r="A5" s="8"/>
      <c r="B5" s="9"/>
      <c r="C5" s="9"/>
      <c r="D5" s="9"/>
      <c r="E5" s="9"/>
      <c r="F5" s="9"/>
      <c r="G5" s="9"/>
      <c r="H5" s="9"/>
      <c r="I5" s="9"/>
      <c r="J5" s="9"/>
    </row>
    <row r="6" ht="14.25">
      <c r="A6" s="1" t="s">
        <v>14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</row>
    <row r="7" ht="14.25">
      <c r="A7" s="2" t="s">
        <v>10</v>
      </c>
      <c r="B7" s="10">
        <v>36</v>
      </c>
      <c r="C7" s="11">
        <v>36</v>
      </c>
      <c r="D7" s="12" t="s">
        <v>11</v>
      </c>
      <c r="E7" s="12" t="s">
        <v>11</v>
      </c>
      <c r="F7" s="11">
        <v>4</v>
      </c>
      <c r="G7" s="11">
        <v>4</v>
      </c>
      <c r="H7" s="11">
        <v>13</v>
      </c>
      <c r="I7" s="11">
        <v>24</v>
      </c>
      <c r="J7" s="12">
        <v>38</v>
      </c>
    </row>
    <row r="8" ht="14.25">
      <c r="A8" s="2" t="s">
        <v>12</v>
      </c>
      <c r="B8" s="5">
        <v>43</v>
      </c>
      <c r="C8" s="6">
        <v>33</v>
      </c>
      <c r="D8" s="7" t="s">
        <v>11</v>
      </c>
      <c r="E8" s="7" t="s">
        <v>11</v>
      </c>
      <c r="F8" s="6">
        <v>9</v>
      </c>
      <c r="G8" s="6">
        <v>5</v>
      </c>
      <c r="H8" s="6">
        <v>18</v>
      </c>
      <c r="I8" s="6">
        <v>27</v>
      </c>
      <c r="J8" s="7">
        <v>70</v>
      </c>
    </row>
    <row r="9" ht="14.25">
      <c r="A9" s="2" t="s">
        <v>13</v>
      </c>
      <c r="B9" s="5">
        <v>158</v>
      </c>
      <c r="C9" s="6">
        <v>110</v>
      </c>
      <c r="D9" s="7" t="s">
        <v>11</v>
      </c>
      <c r="E9" s="7" t="s">
        <v>11</v>
      </c>
      <c r="F9" s="6">
        <v>35</v>
      </c>
      <c r="G9" s="6">
        <v>10</v>
      </c>
      <c r="H9" s="6">
        <v>46</v>
      </c>
      <c r="I9" s="6">
        <v>80</v>
      </c>
      <c r="J9" s="7">
        <v>224</v>
      </c>
    </row>
    <row r="10" ht="14.25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ht="14.25">
      <c r="A11" s="1" t="s">
        <v>15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ht="14.25">
      <c r="A12" s="2" t="s">
        <v>10</v>
      </c>
      <c r="B12" s="10">
        <v>65</v>
      </c>
      <c r="C12" s="11">
        <v>70</v>
      </c>
      <c r="D12" s="11">
        <v>0</v>
      </c>
      <c r="E12" s="11">
        <v>0</v>
      </c>
      <c r="F12" s="11">
        <v>70</v>
      </c>
      <c r="G12" s="11">
        <v>0</v>
      </c>
      <c r="H12" s="11">
        <v>45</v>
      </c>
      <c r="I12" s="11">
        <v>50</v>
      </c>
      <c r="J12" s="11">
        <v>0</v>
      </c>
    </row>
    <row r="13" ht="14.25">
      <c r="A13" s="2" t="s">
        <v>12</v>
      </c>
      <c r="B13" s="5">
        <v>85</v>
      </c>
      <c r="C13" s="6">
        <v>85</v>
      </c>
      <c r="D13" s="6">
        <v>0</v>
      </c>
      <c r="E13" s="6">
        <v>0</v>
      </c>
      <c r="F13" s="6">
        <v>70</v>
      </c>
      <c r="G13" s="6">
        <v>70</v>
      </c>
      <c r="H13" s="6">
        <v>90</v>
      </c>
      <c r="I13" s="6">
        <v>45</v>
      </c>
      <c r="J13" s="6">
        <v>0</v>
      </c>
    </row>
    <row r="14" ht="14.25">
      <c r="A14" s="2" t="s">
        <v>13</v>
      </c>
      <c r="B14" s="5">
        <v>85</v>
      </c>
      <c r="C14" s="6">
        <v>80</v>
      </c>
      <c r="D14" s="6">
        <v>0</v>
      </c>
      <c r="E14" s="6">
        <v>0</v>
      </c>
      <c r="F14" s="6">
        <v>85</v>
      </c>
      <c r="G14" s="6">
        <v>0</v>
      </c>
      <c r="H14" s="6">
        <v>0</v>
      </c>
      <c r="I14" s="6">
        <v>85</v>
      </c>
      <c r="J14" s="6">
        <v>0</v>
      </c>
    </row>
    <row r="15" ht="14.25">
      <c r="A15" s="8"/>
      <c r="B15" s="9"/>
      <c r="C15" s="9"/>
      <c r="D15" s="9"/>
      <c r="E15" s="9"/>
      <c r="F15" s="9"/>
      <c r="G15" s="9"/>
      <c r="H15" s="9"/>
      <c r="I15" s="9"/>
      <c r="J15" s="9"/>
    </row>
    <row r="16" ht="14.25">
      <c r="A16" s="1" t="s">
        <v>16</v>
      </c>
      <c r="B16" s="13" t="s">
        <v>1</v>
      </c>
      <c r="C16" s="13" t="s">
        <v>2</v>
      </c>
      <c r="D16" s="13" t="s">
        <v>3</v>
      </c>
      <c r="E16" s="13" t="s">
        <v>4</v>
      </c>
      <c r="F16" s="13" t="s">
        <v>5</v>
      </c>
      <c r="G16" s="13" t="s">
        <v>6</v>
      </c>
      <c r="H16" s="13" t="s">
        <v>7</v>
      </c>
      <c r="I16" s="13" t="s">
        <v>8</v>
      </c>
      <c r="J16" s="13" t="s">
        <v>9</v>
      </c>
    </row>
    <row r="17" ht="14.25">
      <c r="A17" s="13" t="s">
        <v>10</v>
      </c>
      <c r="B17" s="14">
        <v>75</v>
      </c>
      <c r="C17" s="12">
        <v>80</v>
      </c>
      <c r="D17" s="12">
        <v>0</v>
      </c>
      <c r="E17" s="12">
        <v>0</v>
      </c>
      <c r="F17" s="12">
        <v>0</v>
      </c>
      <c r="G17" s="12">
        <v>60</v>
      </c>
      <c r="H17" s="12">
        <v>60</v>
      </c>
      <c r="I17" s="12">
        <v>80</v>
      </c>
      <c r="J17" s="12">
        <v>70</v>
      </c>
    </row>
    <row r="18" ht="14.25">
      <c r="A18" s="13" t="s">
        <v>12</v>
      </c>
      <c r="B18" s="15">
        <v>80</v>
      </c>
      <c r="C18" s="7">
        <v>45</v>
      </c>
      <c r="D18" s="7">
        <v>0</v>
      </c>
      <c r="E18" s="7">
        <v>0</v>
      </c>
      <c r="F18" s="7">
        <v>55</v>
      </c>
      <c r="G18" s="7">
        <v>60</v>
      </c>
      <c r="H18" s="7">
        <v>75</v>
      </c>
      <c r="I18" s="7">
        <v>80</v>
      </c>
      <c r="J18" s="7">
        <v>20</v>
      </c>
    </row>
    <row r="19" ht="14.25">
      <c r="A19" s="13" t="s">
        <v>13</v>
      </c>
      <c r="B19" s="15">
        <v>85</v>
      </c>
      <c r="C19" s="7">
        <v>80</v>
      </c>
      <c r="D19" s="7">
        <v>0</v>
      </c>
      <c r="E19" s="7">
        <v>0</v>
      </c>
      <c r="F19" s="7">
        <v>85</v>
      </c>
      <c r="G19" s="7">
        <v>0</v>
      </c>
      <c r="H19" s="7">
        <v>0</v>
      </c>
      <c r="I19" s="7">
        <v>90</v>
      </c>
      <c r="J19" s="7">
        <v>70</v>
      </c>
    </row>
    <row r="20" ht="14.25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ht="14.25">
      <c r="A21" s="1" t="s">
        <v>17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</row>
    <row r="22" ht="14.25">
      <c r="A22" s="2" t="s">
        <v>10</v>
      </c>
      <c r="B22" s="16">
        <f>B12/B2*10</f>
        <v>54.166666666666671</v>
      </c>
      <c r="C22" s="16">
        <f>C12/C2*10</f>
        <v>70</v>
      </c>
      <c r="D22" s="17">
        <v>0</v>
      </c>
      <c r="E22" s="17">
        <v>0</v>
      </c>
      <c r="F22" s="16">
        <f>F12/F2*10</f>
        <v>233.33333333333331</v>
      </c>
      <c r="G22" s="16">
        <f>G12/G2*10</f>
        <v>0</v>
      </c>
      <c r="H22" s="16">
        <f>H12/H2*10</f>
        <v>90</v>
      </c>
      <c r="I22" s="16">
        <f>I12/I2*10</f>
        <v>62.5</v>
      </c>
      <c r="J22" s="16">
        <f>J12/J2*10</f>
        <v>0</v>
      </c>
    </row>
    <row r="23" ht="14.25">
      <c r="A23" s="18" t="s">
        <v>12</v>
      </c>
      <c r="B23" s="16">
        <f>B13/B3*10</f>
        <v>21.25</v>
      </c>
      <c r="C23" s="16">
        <f>C13/C3*10</f>
        <v>25.757575757575758</v>
      </c>
      <c r="D23" s="17">
        <v>0</v>
      </c>
      <c r="E23" s="17">
        <v>0</v>
      </c>
      <c r="F23" s="16">
        <f>F13/F3*10</f>
        <v>70</v>
      </c>
      <c r="G23" s="16">
        <f>G13/G3*10</f>
        <v>175</v>
      </c>
      <c r="H23" s="16">
        <f>H13/H3*10</f>
        <v>39.130434782608695</v>
      </c>
      <c r="I23" s="16">
        <f>I13/I3*10</f>
        <v>13.636363636363635</v>
      </c>
      <c r="J23" s="16">
        <f>J13/J3*10</f>
        <v>0</v>
      </c>
    </row>
    <row r="24" ht="14.25">
      <c r="A24" s="18" t="s">
        <v>13</v>
      </c>
      <c r="B24" s="19">
        <f>B14/B4*10</f>
        <v>6.7460317460317469</v>
      </c>
      <c r="C24" s="19">
        <f>C14/C4*10</f>
        <v>8.4210526315789469</v>
      </c>
      <c r="D24" s="20">
        <v>0</v>
      </c>
      <c r="E24" s="20">
        <v>0</v>
      </c>
      <c r="F24" s="19">
        <f>F14/F4*10</f>
        <v>28.333333333333336</v>
      </c>
      <c r="G24" s="19">
        <f>G14/G4*10</f>
        <v>0</v>
      </c>
      <c r="H24" s="19">
        <f>H14/H4*10</f>
        <v>0</v>
      </c>
      <c r="I24" s="19">
        <f>I14/I4*10</f>
        <v>11.971830985915492</v>
      </c>
      <c r="J24" s="19">
        <f>J14/J4*10</f>
        <v>0</v>
      </c>
    </row>
    <row r="25" ht="14.25">
      <c r="A25" s="8"/>
      <c r="B25" s="9"/>
      <c r="C25" s="9"/>
      <c r="D25" s="9"/>
      <c r="E25" s="9"/>
      <c r="F25" s="9"/>
      <c r="G25" s="9"/>
      <c r="H25" s="9"/>
      <c r="I25" s="9"/>
      <c r="J25" s="9"/>
    </row>
    <row r="26" ht="14.25">
      <c r="A26" s="1" t="s">
        <v>18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</row>
    <row r="27" ht="14.25">
      <c r="A27" s="13" t="s">
        <v>10</v>
      </c>
      <c r="B27" s="17">
        <f>B17/B7*10</f>
        <v>20.833333333333336</v>
      </c>
      <c r="C27" s="17">
        <f>C17/C7*10</f>
        <v>22.222222222222221</v>
      </c>
      <c r="D27" s="17">
        <v>0</v>
      </c>
      <c r="E27" s="17">
        <v>0</v>
      </c>
      <c r="F27" s="17">
        <f>F17/F7*10</f>
        <v>0</v>
      </c>
      <c r="G27" s="17">
        <f>G17/G7*10</f>
        <v>150</v>
      </c>
      <c r="H27" s="17">
        <f>H17/H7*10</f>
        <v>46.153846153846146</v>
      </c>
      <c r="I27" s="17">
        <f>I17/I7*10</f>
        <v>33.333333333333336</v>
      </c>
      <c r="J27" s="17">
        <f>J17/J7*10</f>
        <v>18.421052631578945</v>
      </c>
    </row>
    <row r="28" ht="14.25">
      <c r="A28" s="13" t="s">
        <v>12</v>
      </c>
      <c r="B28" s="17">
        <f>B18/B8</f>
        <v>1.8604651162790697</v>
      </c>
      <c r="C28" s="17">
        <f>C18/C8</f>
        <v>1.3636363636363635</v>
      </c>
      <c r="D28" s="17">
        <v>0</v>
      </c>
      <c r="E28" s="17">
        <v>0</v>
      </c>
      <c r="F28" s="17">
        <f>F18/F8</f>
        <v>6.1111111111111107</v>
      </c>
      <c r="G28" s="17">
        <f>G18/G8</f>
        <v>12</v>
      </c>
      <c r="H28" s="17">
        <f>H18/H8</f>
        <v>4.166666666666667</v>
      </c>
      <c r="I28" s="17">
        <f>I18/I8</f>
        <v>2.9629629629629628</v>
      </c>
      <c r="J28" s="17">
        <f>J18/J8</f>
        <v>0.2857142857142857</v>
      </c>
    </row>
    <row r="29" ht="14.25">
      <c r="A29" s="13" t="s">
        <v>13</v>
      </c>
      <c r="B29" s="20">
        <f>B19/B9*10</f>
        <v>5.3797468354430382</v>
      </c>
      <c r="C29" s="20">
        <f>C19/C9*10</f>
        <v>7.2727272727272734</v>
      </c>
      <c r="D29" s="20">
        <v>0</v>
      </c>
      <c r="E29" s="20">
        <v>0</v>
      </c>
      <c r="F29" s="20">
        <f>F19/F9*10</f>
        <v>24.285714285714285</v>
      </c>
      <c r="G29" s="20">
        <f>G19/G9*10</f>
        <v>0</v>
      </c>
      <c r="H29" s="20">
        <f>H19/H9*10</f>
        <v>0</v>
      </c>
      <c r="I29" s="20">
        <f>I19/I9*10</f>
        <v>11.25</v>
      </c>
      <c r="J29" s="20">
        <f>J19/J9*10</f>
        <v>3.125</v>
      </c>
    </row>
    <row r="31" ht="14.25">
      <c r="A31" t="s">
        <v>19</v>
      </c>
      <c r="B31" s="21" t="s">
        <v>20</v>
      </c>
      <c r="C31" s="21"/>
      <c r="D31" s="21"/>
      <c r="E31" s="21"/>
      <c r="F31" s="21"/>
      <c r="G31" s="21"/>
      <c r="H31" s="21"/>
      <c r="I31" s="21"/>
      <c r="J31" s="21"/>
    </row>
    <row r="32" ht="14.25">
      <c r="A32" t="s">
        <v>21</v>
      </c>
      <c r="B32" s="22" t="s">
        <v>22</v>
      </c>
      <c r="C32" s="23"/>
      <c r="D32" s="23"/>
      <c r="E32" s="23"/>
      <c r="F32" s="23"/>
      <c r="G32" s="23"/>
      <c r="H32" s="23"/>
      <c r="I32" s="23"/>
      <c r="J32" s="23"/>
    </row>
  </sheetData>
  <mergeCells count="2">
    <mergeCell ref="B31:J31"/>
    <mergeCell ref="B32:J3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lessThan" id="{0E6B7270-1A02-4F59-8277-D6A1FDB6F1F0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B22:C24 F22:J24</xm:sqref>
        </x14:conditionalFormatting>
        <x14:conditionalFormatting xmlns:xm="http://schemas.microsoft.com/office/excel/2006/main">
          <x14:cfRule type="cellIs" priority="9" operator="greaterThan" id="{767D9915-79DA-4AD0-86EA-594CA414681A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B22:C24 F22:J24</xm:sqref>
        </x14:conditionalFormatting>
        <x14:conditionalFormatting xmlns:xm="http://schemas.microsoft.com/office/excel/2006/main">
          <x14:cfRule type="cellIs" priority="8" operator="greaterThan" id="{FB527F27-4A33-4412-91B6-CDF233A60CF6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B27:C29 F27:J29</xm:sqref>
        </x14:conditionalFormatting>
        <x14:conditionalFormatting xmlns:xm="http://schemas.microsoft.com/office/excel/2006/main">
          <x14:cfRule type="cellIs" priority="7" operator="lessThan" id="{666ED3AA-E68E-4E4F-9BA6-7479426ABD23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B27:C29 F27:J29</xm:sqref>
        </x14:conditionalFormatting>
        <x14:conditionalFormatting xmlns:xm="http://schemas.microsoft.com/office/excel/2006/main">
          <x14:cfRule type="cellIs" priority="6" operator="lessThan" id="{A27948D9-DD27-4B45-B6D1-883F98F907F4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B22:C24 F22:J24</xm:sqref>
        </x14:conditionalFormatting>
        <x14:conditionalFormatting xmlns:xm="http://schemas.microsoft.com/office/excel/2006/main">
          <x14:cfRule type="cellIs" priority="5" operator="lessThan" id="{58E01046-1110-4C59-92CB-73833864F104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4" operator="greaterThan" id="{D3062CC7-EE20-4E5D-8C20-B4F5599AD4B6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3" operator="greaterThan" id="{DB593933-6258-40CF-AA87-2E54B0776FAC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2" operator="lessThan" id="{25FB4B40-384D-447A-A914-310D079A24D1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B17:J19</xm:sqref>
        </x14:conditionalFormatting>
        <x14:conditionalFormatting xmlns:xm="http://schemas.microsoft.com/office/excel/2006/main">
          <x14:cfRule type="cellIs" priority="1" operator="greaterThan" id="{10F4448A-9B9C-4C60-AB4C-48EC2A1E47B0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B17:J19</xm:sqref>
        </x14:conditionalFormatting>
        <x14:conditionalFormatting xmlns:xm="http://schemas.microsoft.com/office/excel/2006/main">
          <x14:cfRule type="cellIs" priority="8" operator="greaterThan" id="{3DB86B10-9FFA-488E-9789-58CEAEC0EB58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D22:E24</xm:sqref>
        </x14:conditionalFormatting>
        <x14:conditionalFormatting xmlns:xm="http://schemas.microsoft.com/office/excel/2006/main">
          <x14:cfRule type="cellIs" priority="7" operator="lessThan" id="{70D8E815-148C-4D61-A17E-C5F3832AC985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D22:E24</xm:sqref>
        </x14:conditionalFormatting>
        <x14:conditionalFormatting xmlns:xm="http://schemas.microsoft.com/office/excel/2006/main">
          <x14:cfRule type="cellIs" priority="8" operator="greaterThan" id="{6DCD9C07-2B36-4120-9A20-22C33610D8B4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D27:E29</xm:sqref>
        </x14:conditionalFormatting>
        <x14:conditionalFormatting xmlns:xm="http://schemas.microsoft.com/office/excel/2006/main">
          <x14:cfRule type="cellIs" priority="7" operator="lessThan" id="{5AD87C31-047E-4153-9B53-7867E0FB5E8D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D27:E29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5"/>
  <cols>
    <col bestFit="1" min="1" max="1" width="30.140625"/>
    <col bestFit="1" min="2" max="2" width="14.33203125"/>
    <col bestFit="1" min="3" max="3" width="16.47265625"/>
    <col bestFit="1" min="4" max="4" width="14.33203125"/>
    <col bestFit="1" min="5" max="5" width="14.3828125"/>
    <col bestFit="1" min="6" max="6" width="17.6640625"/>
  </cols>
  <sheetData>
    <row r="1">
      <c r="A1" s="1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>
      <c r="A2" s="2" t="s">
        <v>10</v>
      </c>
      <c r="B2" s="3">
        <v>9</v>
      </c>
      <c r="C2" s="4">
        <v>4</v>
      </c>
      <c r="D2" s="4">
        <v>3</v>
      </c>
      <c r="E2" s="4">
        <v>21</v>
      </c>
      <c r="F2" s="4">
        <v>1</v>
      </c>
    </row>
    <row r="3">
      <c r="A3" s="2" t="s">
        <v>12</v>
      </c>
      <c r="B3" s="5">
        <v>3</v>
      </c>
      <c r="C3" s="6">
        <v>6</v>
      </c>
      <c r="D3" s="6">
        <v>5</v>
      </c>
      <c r="E3" s="6">
        <v>11</v>
      </c>
      <c r="F3" s="6">
        <v>7</v>
      </c>
    </row>
    <row r="4">
      <c r="A4" s="2" t="s">
        <v>13</v>
      </c>
      <c r="B4" s="5">
        <v>2</v>
      </c>
      <c r="C4" s="6">
        <v>4</v>
      </c>
      <c r="D4" s="24" t="s">
        <v>11</v>
      </c>
      <c r="E4" s="7">
        <v>12</v>
      </c>
      <c r="F4" s="24" t="s">
        <v>11</v>
      </c>
    </row>
    <row r="5">
      <c r="A5" s="8"/>
      <c r="B5" s="9"/>
      <c r="C5" s="9"/>
      <c r="D5" s="9"/>
      <c r="E5" s="9"/>
      <c r="F5" s="9"/>
    </row>
    <row r="6">
      <c r="A6" s="1" t="s">
        <v>29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>
      <c r="A7" s="2" t="s">
        <v>10</v>
      </c>
      <c r="B7" s="10">
        <v>6</v>
      </c>
      <c r="C7" s="11">
        <v>9</v>
      </c>
      <c r="D7" s="12">
        <v>8</v>
      </c>
      <c r="E7" s="12">
        <v>23</v>
      </c>
      <c r="F7" s="12">
        <v>2</v>
      </c>
    </row>
    <row r="8">
      <c r="A8" s="2" t="s">
        <v>12</v>
      </c>
      <c r="B8" s="5">
        <v>4</v>
      </c>
      <c r="C8" s="6">
        <v>7</v>
      </c>
      <c r="D8" s="7">
        <v>11</v>
      </c>
      <c r="E8" s="7">
        <v>20</v>
      </c>
      <c r="F8" s="7">
        <v>1</v>
      </c>
    </row>
    <row r="9">
      <c r="A9" s="2" t="s">
        <v>13</v>
      </c>
      <c r="B9" s="5">
        <v>5</v>
      </c>
      <c r="C9" s="6">
        <v>7</v>
      </c>
      <c r="D9" s="7" t="s">
        <v>11</v>
      </c>
      <c r="E9" s="7">
        <v>27</v>
      </c>
      <c r="F9" s="7">
        <v>23</v>
      </c>
    </row>
    <row r="10">
      <c r="A10" s="8"/>
      <c r="B10" s="9"/>
      <c r="C10" s="9"/>
      <c r="D10" s="9"/>
      <c r="E10" s="9"/>
      <c r="F10" s="9"/>
    </row>
    <row r="11">
      <c r="A11" s="1" t="s">
        <v>30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</row>
    <row r="12">
      <c r="A12" s="2" t="s">
        <v>10</v>
      </c>
      <c r="B12" s="10">
        <v>0</v>
      </c>
      <c r="C12" s="11">
        <v>0</v>
      </c>
      <c r="D12" s="11">
        <v>0</v>
      </c>
      <c r="E12" s="11">
        <v>0</v>
      </c>
      <c r="F12" s="11">
        <v>25</v>
      </c>
    </row>
    <row r="13">
      <c r="A13" s="2" t="s">
        <v>12</v>
      </c>
      <c r="B13" s="5">
        <v>90</v>
      </c>
      <c r="C13" s="6">
        <v>90</v>
      </c>
      <c r="D13" s="6">
        <v>90</v>
      </c>
      <c r="E13" s="6">
        <v>80</v>
      </c>
      <c r="F13" s="6">
        <v>85</v>
      </c>
    </row>
    <row r="14">
      <c r="A14" s="2" t="s">
        <v>13</v>
      </c>
      <c r="B14" s="5">
        <v>90</v>
      </c>
      <c r="C14" s="6">
        <v>90</v>
      </c>
      <c r="D14" s="6">
        <v>0</v>
      </c>
      <c r="E14" s="6">
        <v>80</v>
      </c>
      <c r="F14" s="6">
        <v>0</v>
      </c>
    </row>
    <row r="15">
      <c r="A15" s="8"/>
      <c r="B15" s="9"/>
      <c r="C15" s="9"/>
      <c r="D15" s="9"/>
      <c r="E15" s="9"/>
      <c r="F15" s="9"/>
    </row>
    <row r="16">
      <c r="A16" s="1" t="s">
        <v>31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</row>
    <row r="17">
      <c r="A17" s="13" t="s">
        <v>10</v>
      </c>
      <c r="B17" s="14">
        <v>90</v>
      </c>
      <c r="C17" s="12">
        <v>85</v>
      </c>
      <c r="D17" s="12">
        <v>90</v>
      </c>
      <c r="E17" s="12">
        <v>70</v>
      </c>
      <c r="F17" s="12">
        <v>80</v>
      </c>
    </row>
    <row r="18">
      <c r="A18" s="13" t="s">
        <v>12</v>
      </c>
      <c r="B18" s="15">
        <v>80</v>
      </c>
      <c r="C18" s="7">
        <v>80</v>
      </c>
      <c r="D18" s="7">
        <v>85</v>
      </c>
      <c r="E18" s="7">
        <v>70</v>
      </c>
      <c r="F18" s="7">
        <v>75</v>
      </c>
    </row>
    <row r="19">
      <c r="A19" s="13" t="s">
        <v>13</v>
      </c>
      <c r="B19" s="15">
        <v>90</v>
      </c>
      <c r="C19" s="7">
        <v>90</v>
      </c>
      <c r="D19" s="7">
        <v>0</v>
      </c>
      <c r="E19" s="7">
        <v>75</v>
      </c>
      <c r="F19" s="7">
        <v>80</v>
      </c>
    </row>
    <row r="20">
      <c r="A20" s="8"/>
      <c r="B20" s="9"/>
      <c r="C20" s="9"/>
      <c r="D20" s="9"/>
      <c r="E20" s="9"/>
      <c r="F20" s="9"/>
    </row>
    <row r="21">
      <c r="A21" s="1" t="s">
        <v>17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</row>
    <row r="22">
      <c r="A22" s="18" t="s">
        <v>10</v>
      </c>
      <c r="B22" s="25">
        <f>B12/B2*10</f>
        <v>0</v>
      </c>
      <c r="C22" s="25">
        <f>C12/C2*10</f>
        <v>0</v>
      </c>
      <c r="D22" s="25">
        <f>D12/D2*10</f>
        <v>0</v>
      </c>
      <c r="E22" s="25">
        <f>E12/E2*10</f>
        <v>0</v>
      </c>
      <c r="F22" s="25">
        <f>F12/F2*10</f>
        <v>250</v>
      </c>
    </row>
    <row r="23">
      <c r="A23" s="26" t="s">
        <v>12</v>
      </c>
      <c r="B23" s="25">
        <f>B13/B3*10</f>
        <v>300</v>
      </c>
      <c r="C23" s="25">
        <f>C13/C3*10</f>
        <v>150</v>
      </c>
      <c r="D23" s="25">
        <f>D13/D3*10</f>
        <v>180</v>
      </c>
      <c r="E23" s="25">
        <f>E13/E3*10</f>
        <v>72.72727272727272</v>
      </c>
      <c r="F23" s="25">
        <f>F13/F3*10</f>
        <v>121.42857142857142</v>
      </c>
    </row>
    <row r="24">
      <c r="A24" s="26" t="s">
        <v>13</v>
      </c>
      <c r="B24" s="19">
        <f>B14/B4*10</f>
        <v>450</v>
      </c>
      <c r="C24" s="19">
        <f>C14/C4*10</f>
        <v>225</v>
      </c>
      <c r="D24" s="19">
        <v>0</v>
      </c>
      <c r="E24" s="19">
        <f>E14/E4*10</f>
        <v>66.666666666666671</v>
      </c>
      <c r="F24" s="19">
        <v>0</v>
      </c>
    </row>
    <row r="25">
      <c r="A25" s="8"/>
      <c r="B25" s="9"/>
      <c r="C25" s="9"/>
      <c r="D25" s="9"/>
      <c r="E25" s="9"/>
      <c r="F25" s="9"/>
    </row>
    <row r="26">
      <c r="A26" s="1" t="s">
        <v>18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</row>
    <row r="27">
      <c r="A27" s="27" t="s">
        <v>10</v>
      </c>
      <c r="B27" s="28">
        <f>B17/B7*10</f>
        <v>150</v>
      </c>
      <c r="C27" s="28">
        <f>C17/C7*10</f>
        <v>94.444444444444443</v>
      </c>
      <c r="D27" s="28">
        <f>D17/D7*10</f>
        <v>112.5</v>
      </c>
      <c r="E27" s="28">
        <f>E17/E7*10</f>
        <v>30.434782608695656</v>
      </c>
      <c r="F27" s="28">
        <f>F17/F7*10</f>
        <v>400</v>
      </c>
    </row>
    <row r="28">
      <c r="A28" s="27" t="s">
        <v>12</v>
      </c>
      <c r="B28" s="28">
        <f>B18/B8*10</f>
        <v>200</v>
      </c>
      <c r="C28" s="28">
        <f>C18/C8*10</f>
        <v>114.28571428571429</v>
      </c>
      <c r="D28" s="28">
        <f>D18/D8*10</f>
        <v>77.27272727272728</v>
      </c>
      <c r="E28" s="28">
        <f>E18/E8*10</f>
        <v>35</v>
      </c>
      <c r="F28" s="28">
        <f>F18/F8*10</f>
        <v>750</v>
      </c>
    </row>
    <row r="29">
      <c r="A29" s="27" t="s">
        <v>13</v>
      </c>
      <c r="B29" s="20">
        <f>B19/B9*10</f>
        <v>180</v>
      </c>
      <c r="C29" s="20">
        <f>C19/C9*10</f>
        <v>128.57142857142858</v>
      </c>
      <c r="D29" s="20">
        <v>0</v>
      </c>
      <c r="E29" s="20">
        <f>E19/E9*10</f>
        <v>27.777777777777779</v>
      </c>
      <c r="F29" s="20">
        <f>F19/F9*10</f>
        <v>34.782608695652172</v>
      </c>
    </row>
    <row r="31">
      <c r="A31" t="s">
        <v>19</v>
      </c>
      <c r="B31" s="21" t="s">
        <v>20</v>
      </c>
      <c r="C31" s="21"/>
      <c r="D31" s="21"/>
      <c r="E31" s="21"/>
      <c r="F31" s="21"/>
      <c r="G31" s="29"/>
      <c r="H31" s="29"/>
      <c r="I31" s="29"/>
      <c r="J31" s="29"/>
    </row>
    <row r="32">
      <c r="A32" t="s">
        <v>21</v>
      </c>
      <c r="B32" s="30" t="s">
        <v>22</v>
      </c>
      <c r="C32" s="30"/>
      <c r="D32" s="30"/>
      <c r="E32" s="30"/>
      <c r="F32" s="30"/>
      <c r="G32" s="31"/>
      <c r="H32" s="31"/>
      <c r="I32" s="31"/>
      <c r="J32" s="31"/>
    </row>
  </sheetData>
  <mergeCells count="2">
    <mergeCell ref="B31:F31"/>
    <mergeCell ref="B32:F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lessThan" id="{AB43A861-D0BE-460B-BF49-1BBDE01BB865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11" operator="greaterThan" id="{7337C39E-DE12-4447-8BFA-0A11FAB5F20B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10" operator="greaterThan" id="{F82DA691-4C11-4354-B09D-4C2055E4528B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C27 C29 C28 B27 B29 B28 E27 E29 E28 D27 D29 D28</xm:sqref>
        </x14:conditionalFormatting>
        <x14:conditionalFormatting xmlns:xm="http://schemas.microsoft.com/office/excel/2006/main">
          <x14:cfRule type="cellIs" priority="9" operator="lessThan" id="{8B43CA86-363F-4B1F-AA61-C4ECBE5D2D80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C27 C29 C28 B27 B29 B28 E27 E29 E28 D27 D29 D28</xm:sqref>
        </x14:conditionalFormatting>
        <x14:conditionalFormatting xmlns:xm="http://schemas.microsoft.com/office/excel/2006/main">
          <x14:cfRule type="cellIs" priority="8" operator="lessThan" id="{D0F9AA48-9644-44EA-9D9D-68D1E2D75F67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7" operator="lessThan" id="{689E0081-1EB3-44E4-9817-86F7A5256334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6" operator="greaterThan" id="{DFE22A7D-1983-4BED-9E96-4A23A77F3749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5" operator="greaterThan" id="{D271A025-0745-4F7C-B965-3EC7EDC3A46D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4" operator="lessThan" id="{EBE8350D-BED5-489D-9986-7652A0DB449A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B17:E19</xm:sqref>
        </x14:conditionalFormatting>
        <x14:conditionalFormatting xmlns:xm="http://schemas.microsoft.com/office/excel/2006/main">
          <x14:cfRule type="cellIs" priority="3" operator="greaterThan" id="{DDE3E539-3A9B-4735-B8DE-8460779F0F10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B17:E19</xm:sqref>
        </x14:conditionalFormatting>
        <x14:conditionalFormatting xmlns:xm="http://schemas.microsoft.com/office/excel/2006/main">
          <x14:cfRule type="cellIs" priority="13" operator="lessThan" id="{8A53F75A-808E-4A02-8D4A-EF6A6D10F31D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4" operator="greaterThan" id="{C58FAD32-AD08-4326-B025-8C6C054FB86A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5" operator="greaterThan" id="{C23CB450-38CE-4B6D-B939-08A4A3EEDDA7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F27 F29 F28</xm:sqref>
        </x14:conditionalFormatting>
        <x14:conditionalFormatting xmlns:xm="http://schemas.microsoft.com/office/excel/2006/main">
          <x14:cfRule type="cellIs" priority="16" operator="lessThan" id="{93CADD1D-24F9-460C-A429-AC44D4ED3D1B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F27 F29 F28</xm:sqref>
        </x14:conditionalFormatting>
        <x14:conditionalFormatting xmlns:xm="http://schemas.microsoft.com/office/excel/2006/main">
          <x14:cfRule type="cellIs" priority="17" operator="lessThan" id="{54A3E2D7-835D-4AB2-8675-8E9EE269E27B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8" operator="lessThan" id="{5180CFAA-3D8C-4B26-A72F-8EBD793249D7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19" operator="greaterThan" id="{A6A8124C-4D62-44B2-B3CD-2D98DC2A7B65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20" operator="greaterThan" id="{DE1BB838-9801-4FC7-B91A-7FF33D15EC1D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21" operator="lessThan" id="{5D86E79D-7F86-4DBC-8C96-3BD54C37D7A8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F17:F19</xm:sqref>
        </x14:conditionalFormatting>
        <x14:conditionalFormatting xmlns:xm="http://schemas.microsoft.com/office/excel/2006/main">
          <x14:cfRule type="cellIs" priority="22" operator="greaterThan" id="{877922BF-F1D9-45C4-953F-1F4F4CE57019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F17:F19</xm:sqref>
        </x14:conditionalFormatting>
        <x14:conditionalFormatting xmlns:xm="http://schemas.microsoft.com/office/excel/2006/main">
          <x14:cfRule type="cellIs" priority="2" operator="greaterThan" id="{39CF76CB-3658-40C9-B757-BB7C16C2E5A1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1" operator="greaterThan" id="{B464C60B-EE12-43B0-A5D0-2DEE74FAE10A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F17:F19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2026-05-23T22:32:22Z</dcterms:modified>
</cp:coreProperties>
</file>